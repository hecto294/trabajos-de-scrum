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xr:revisionPtr revIDLastSave="0" documentId="8_{D2925E5D-C0B6-4408-A4AC-FBDB6A393AF1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Hoja2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34" i="1" l="1"/>
  <c r="F133" i="1"/>
  <c r="G132" i="1"/>
  <c r="F132" i="1"/>
  <c r="D130" i="1"/>
  <c r="C130" i="1"/>
  <c r="F127" i="1"/>
  <c r="F126" i="1"/>
  <c r="F125" i="1"/>
  <c r="F124" i="1"/>
  <c r="G123" i="1"/>
  <c r="F123" i="1"/>
  <c r="D121" i="1"/>
  <c r="C121" i="1"/>
  <c r="F118" i="1"/>
  <c r="F117" i="1"/>
  <c r="F116" i="1"/>
  <c r="F115" i="1"/>
  <c r="F114" i="1"/>
  <c r="G113" i="1"/>
  <c r="F113" i="1"/>
  <c r="D111" i="1"/>
  <c r="C111" i="1"/>
  <c r="F108" i="1"/>
  <c r="F107" i="1"/>
  <c r="F106" i="1"/>
  <c r="F105" i="1"/>
  <c r="G104" i="1"/>
  <c r="F104" i="1"/>
  <c r="D102" i="1"/>
  <c r="C102" i="1"/>
  <c r="F99" i="1"/>
  <c r="F98" i="1"/>
  <c r="F97" i="1"/>
  <c r="F96" i="1"/>
  <c r="F95" i="1"/>
  <c r="G94" i="1"/>
  <c r="F94" i="1"/>
  <c r="D92" i="1"/>
  <c r="C92" i="1"/>
  <c r="F89" i="1"/>
  <c r="F88" i="1"/>
  <c r="F87" i="1"/>
  <c r="F86" i="1"/>
  <c r="G85" i="1"/>
  <c r="F85" i="1"/>
  <c r="D83" i="1"/>
  <c r="C83" i="1"/>
  <c r="F80" i="1"/>
  <c r="F79" i="1"/>
  <c r="F78" i="1"/>
  <c r="F77" i="1"/>
  <c r="F76" i="1"/>
  <c r="G75" i="1"/>
  <c r="F75" i="1"/>
  <c r="D73" i="1"/>
  <c r="C73" i="1"/>
  <c r="F70" i="1"/>
  <c r="F69" i="1"/>
  <c r="F68" i="1"/>
  <c r="F67" i="1"/>
  <c r="F66" i="1"/>
  <c r="F65" i="1"/>
  <c r="G64" i="1"/>
  <c r="F64" i="1"/>
  <c r="D62" i="1"/>
  <c r="C62" i="1"/>
  <c r="F59" i="1"/>
  <c r="F58" i="1"/>
  <c r="F57" i="1"/>
  <c r="F56" i="1"/>
  <c r="F55" i="1"/>
  <c r="G54" i="1"/>
  <c r="F54" i="1"/>
  <c r="D52" i="1"/>
  <c r="C52" i="1"/>
  <c r="F49" i="1"/>
  <c r="F48" i="1"/>
  <c r="F47" i="1"/>
  <c r="F46" i="1"/>
  <c r="F45" i="1"/>
  <c r="F44" i="1"/>
  <c r="G43" i="1"/>
  <c r="F43" i="1"/>
  <c r="D41" i="1"/>
  <c r="C41" i="1"/>
  <c r="F38" i="1"/>
  <c r="F37" i="1"/>
  <c r="F36" i="1"/>
  <c r="F35" i="1"/>
  <c r="F34" i="1"/>
  <c r="G33" i="1"/>
  <c r="F33" i="1"/>
  <c r="D31" i="1"/>
  <c r="C31" i="1"/>
  <c r="F28" i="1"/>
  <c r="F27" i="1"/>
  <c r="F26" i="1"/>
  <c r="F25" i="1"/>
  <c r="F24" i="1"/>
  <c r="G23" i="1"/>
  <c r="F23" i="1"/>
  <c r="D21" i="1"/>
  <c r="C21" i="1"/>
  <c r="F18" i="1"/>
  <c r="F17" i="1"/>
  <c r="F16" i="1"/>
  <c r="F15" i="1"/>
  <c r="F14" i="1"/>
  <c r="G13" i="1"/>
  <c r="F13" i="1"/>
  <c r="D11" i="1"/>
  <c r="C11" i="1"/>
  <c r="F8" i="1"/>
  <c r="F7" i="1"/>
  <c r="F6" i="1"/>
  <c r="F5" i="1"/>
  <c r="G4" i="1"/>
  <c r="F4" i="1"/>
  <c r="D2" i="1"/>
  <c r="C2" i="1"/>
</calcChain>
</file>

<file path=xl/sharedStrings.xml><?xml version="1.0" encoding="utf-8"?>
<sst xmlns="http://schemas.openxmlformats.org/spreadsheetml/2006/main" count="219" uniqueCount="115">
  <si>
    <t>SPRINT 1</t>
  </si>
  <si>
    <t>Autenticación y Seguridad Básica</t>
  </si>
  <si>
    <t>Semanas destinadas</t>
  </si>
  <si>
    <t>HISTORIA DE USUARIO</t>
  </si>
  <si>
    <t>PUNTAJE</t>
  </si>
  <si>
    <t>INTEGRANTES</t>
  </si>
  <si>
    <t>DÍAS DEDICADOS A LA HISTORIA</t>
  </si>
  <si>
    <t>HORAS DEL DÍA</t>
  </si>
  <si>
    <t>CAPACIDAD TOTAL (HORAS)</t>
  </si>
  <si>
    <t xml:space="preserve">VELOCIDAD </t>
  </si>
  <si>
    <t>HU-01 Registro de Usuario</t>
  </si>
  <si>
    <t>HU-02 Inicio de Sesión</t>
  </si>
  <si>
    <t>HU-03 Recuperación de Contraseña</t>
  </si>
  <si>
    <t>HU-04 Cerrar Sesión</t>
  </si>
  <si>
    <t>HU-30 Términos y Condiciones</t>
  </si>
  <si>
    <t>SPRINT 2</t>
  </si>
  <si>
    <t>Dashboard de Usuario (Parte 1)</t>
  </si>
  <si>
    <t>HU-05 Visualizar Dashboard de Usuario</t>
  </si>
  <si>
    <t>HU-06 Buscar en el Dashboard de Usuario</t>
  </si>
  <si>
    <t>HU-07 Visualizar Notas Completas</t>
  </si>
  <si>
    <t>HU-08 Visualizar Materias Aprobadas</t>
  </si>
  <si>
    <t>HU-09 Visualizar Materias Reprobadas</t>
  </si>
  <si>
    <t>HU-10 Visualizar Horas de Clase</t>
  </si>
  <si>
    <t>SPRINT 3</t>
  </si>
  <si>
    <t>Dashboard de Administrador</t>
  </si>
  <si>
    <t>HU-11 Visualizar Dashboard de Administrador</t>
  </si>
  <si>
    <t>HU-12 Buscar en el Dashboard de Administrador</t>
  </si>
  <si>
    <t>HU-13 Visualizar Total de Usuarios</t>
  </si>
  <si>
    <t>HU-14 Visualizar Usuarios Activos</t>
  </si>
  <si>
    <t>HU-15 Visualizar Usuarios Inactivos</t>
  </si>
  <si>
    <t>HU-16 Visualizar Administradores</t>
  </si>
  <si>
    <t>SPRINT 4</t>
  </si>
  <si>
    <t>Landing Page y Validaciones</t>
  </si>
  <si>
    <t>HU-17 Visualizar Landing Page</t>
  </si>
  <si>
    <t>HU-18 Ver Servicios en Landing Page</t>
  </si>
  <si>
    <t>HU-19 Ver Contacto en Landing Page</t>
  </si>
  <si>
    <t>HU-20 Ver Roles en Landing Page</t>
  </si>
  <si>
    <t>HU-21 Validación de Formularios</t>
  </si>
  <si>
    <t>HU-22 Protección de Rutas</t>
  </si>
  <si>
    <t>SPRINT 5</t>
  </si>
  <si>
    <t>Diseño y Experiencia de Usuario</t>
  </si>
  <si>
    <t>HU-23 Gestión de Tokens JWT</t>
  </si>
  <si>
    <t>HU-24 Mensajes de Confirmación</t>
  </si>
  <si>
    <t>HU-25 Mensajes de Error</t>
  </si>
  <si>
    <t>HU-26 Responsive Design</t>
  </si>
  <si>
    <t>HU-27 Visualizar Logo EDUCE</t>
  </si>
  <si>
    <t>HU-28 Colores Institucionales</t>
  </si>
  <si>
    <t>HU-29 Footer Completo</t>
  </si>
  <si>
    <t>SPRINT 6</t>
  </si>
  <si>
    <t>Perfil y Gestión de Sesión</t>
  </si>
  <si>
    <t>HU-31 Ver Perfil de Usuario</t>
  </si>
  <si>
    <t>HU-32 Editar Perfil de Usuario</t>
  </si>
  <si>
    <t>HU-33 Cambiar Contraseña</t>
  </si>
  <si>
    <t>HU-34 Recuperar Sesión</t>
  </si>
  <si>
    <t>HU-35 Expiración de Sesión</t>
  </si>
  <si>
    <t>HU-36 Cargar Datos Rápidamente</t>
  </si>
  <si>
    <t>SPRINT 7</t>
  </si>
  <si>
    <t>Comunicación y Notificaciones</t>
  </si>
  <si>
    <t>HU-38 Ver Notificaciones</t>
  </si>
  <si>
    <t>HU-39 Buscar en Notificaciones</t>
  </si>
  <si>
    <t>HU-40 Ver Instructores</t>
  </si>
  <si>
    <t>HU-41 Ver Ficha Técnica</t>
  </si>
  <si>
    <t>HU-42 Ver Competencias</t>
  </si>
  <si>
    <t>HU-43 Ver Evidencias</t>
  </si>
  <si>
    <t>HU-44 Ver Asistencias</t>
  </si>
  <si>
    <t>SPRINT 8</t>
  </si>
  <si>
    <t>Trabajos, Justificaciones y Calificaciones</t>
  </si>
  <si>
    <t>HU-45 Subir Trabajos</t>
  </si>
  <si>
    <t>HU-46 Ver Trabajos Subidos</t>
  </si>
  <si>
    <t>HU-47 Justificar Inasistencias</t>
  </si>
  <si>
    <t>HU-48 Ver Justificaciones</t>
  </si>
  <si>
    <t>HU-49 Registrar Calificaciones</t>
  </si>
  <si>
    <t>HU-50 Ver Lista de Estudiantes</t>
  </si>
  <si>
    <t>SPRINT 9</t>
  </si>
  <si>
    <t>Comunicación y Anuncios</t>
  </si>
  <si>
    <t>HU-51 Publicar Anuncios</t>
  </si>
  <si>
    <t>HU-52 Ver Anuncios</t>
  </si>
  <si>
    <t>HU-53 Enviar Mensajes</t>
  </si>
  <si>
    <t>HU-54 Ver Mensajes Recibidos</t>
  </si>
  <si>
    <t>HU-55 Notificaciones en Tiempo Real</t>
  </si>
  <si>
    <t>SPRINT 10</t>
  </si>
  <si>
    <t>Administración y Reportes</t>
  </si>
  <si>
    <t>HU-56 Historial de Cambios</t>
  </si>
  <si>
    <t>HU-57 Reportes Académicos</t>
  </si>
  <si>
    <t>HU-58 Exportar Datos</t>
  </si>
  <si>
    <t>HU-59 Importar Usuarios</t>
  </si>
  <si>
    <t>HU-60 Gestión de Fichas</t>
  </si>
  <si>
    <t>HU-61 Gestión de Aulas</t>
  </si>
  <si>
    <t>SPRINT 11</t>
  </si>
  <si>
    <t>Gestión de Horarios y Estadísticas</t>
  </si>
  <si>
    <t>HU-62 Gestión de Horarios</t>
  </si>
  <si>
    <t>HU-63 Ver Estadísticas del Sistema</t>
  </si>
  <si>
    <t>HU-64 Filtros Avanzados</t>
  </si>
  <si>
    <t>HU-65 Ordenar Tablas</t>
  </si>
  <si>
    <t>HU-66 Mejoras de Accesibilidad</t>
  </si>
  <si>
    <t>SPRINT 12</t>
  </si>
  <si>
    <t>Personalización y Recursos Educativos</t>
  </si>
  <si>
    <t>HU-67 Internacionalización</t>
  </si>
  <si>
    <t>HU-68 Personalización de Perfil</t>
  </si>
  <si>
    <t>HU-69 Ver Historial Académico</t>
  </si>
  <si>
    <t>HU-70 Ver Plan de Estudios</t>
  </si>
  <si>
    <t>HU-71 Ver Cronograma de Evaluaciones</t>
  </si>
  <si>
    <t>HU-72 Ver Recursos Educativos</t>
  </si>
  <si>
    <t>SPRINT 13</t>
  </si>
  <si>
    <t>Foros, Calendario y Biblioteca</t>
  </si>
  <si>
    <t>HU-73 Ver Foros de Discusión</t>
  </si>
  <si>
    <t>HU-74 Ver Calendario Académico</t>
  </si>
  <si>
    <t>HU-75 Ver Biblioteca Virtual</t>
  </si>
  <si>
    <t>HU-76 Ver Simulacros de Pruebas</t>
  </si>
  <si>
    <t>HU-77 Ver Certificados</t>
  </si>
  <si>
    <t>SPRINT 14</t>
  </si>
  <si>
    <t>Tutorías, Encuestas y Guías</t>
  </si>
  <si>
    <t>HU-78 Ver Tutorías</t>
  </si>
  <si>
    <t>HU-79 Ver Encuestas de Satisfacción</t>
  </si>
  <si>
    <t>HU-80 Ver Guías de Estudio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</si>
</sst>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>
    <font>
      <sz val="11"/>
      <color theme="1"/>
      <name val="Calibri"/>
      <charset val="1"/>
    </font>
    <font>
      <sz val="11"/>
      <color theme="1"/>
      <name val="Calibri"/>
      <family val="2"/>
      <charset val="1"/>
    </font>
    <font>
      <b/>
      <sz val="14"/>
      <color theme="1"/>
      <name val="Calibri"/>
      <charset val="1"/>
    </font>
    <font>
      <i/>
      <sz val="14"/>
      <name val="Calibri"/>
      <family val="2"/>
      <charset val="1"/>
    </font>
    <font>
      <b/>
      <sz val="14"/>
      <color rgb="FFFFFFFF"/>
      <name val="Calibri"/>
      <charset val="1"/>
    </font>
    <font>
      <b/>
      <sz val="14"/>
      <color theme="0"/>
      <name val="Calibri"/>
      <charset val="1"/>
    </font>
    <font>
      <sz val="14"/>
      <name val="Calibri"/>
      <family val="2"/>
      <charset val="1"/>
    </font>
    <font>
      <sz val="14"/>
      <color theme="1"/>
      <name val="Calibri"/>
      <charset val="1"/>
    </font>
    <font>
      <b/>
      <sz val="14"/>
      <color theme="1"/>
      <name val="Calibri"/>
      <family val="2"/>
      <charset val="1"/>
    </font>
    <font>
      <sz val="14"/>
      <color theme="1"/>
      <name val="Calibri"/>
      <family val="2"/>
      <charset val="1"/>
    </font>
    <font>
      <b/>
      <sz val="14"/>
      <color rgb="FFFFFFFF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4"/>
        <bgColor rgb="FF808080"/>
      </patternFill>
    </fill>
  </fills>
  <borders count="1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rgb="FFAAAAAA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rgb="FFCCCCCC"/>
      </top>
      <bottom style="medium">
        <color auto="1"/>
      </bottom>
      <diagonal/>
    </border>
    <border>
      <left style="medium">
        <color rgb="FFCCCCCC"/>
      </left>
      <right style="medium">
        <color auto="1"/>
      </right>
      <top style="medium">
        <color rgb="FFCCCCCC"/>
      </top>
      <bottom style="medium">
        <color auto="1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2" fillId="0" borderId="1" xfId="0" applyFont="1" applyBorder="1"/>
    <xf numFmtId="0" fontId="4" fillId="2" borderId="3" xfId="0" applyFont="1" applyFill="1" applyBorder="1"/>
    <xf numFmtId="0" fontId="4" fillId="2" borderId="4" xfId="0" applyFont="1" applyFill="1" applyBorder="1" applyAlignment="1">
      <alignment horizontal="center"/>
    </xf>
    <xf numFmtId="0" fontId="5" fillId="2" borderId="4" xfId="0" applyFont="1" applyFill="1" applyBorder="1"/>
    <xf numFmtId="0" fontId="5" fillId="2" borderId="6" xfId="0" applyFont="1" applyFill="1" applyBorder="1"/>
    <xf numFmtId="0" fontId="5" fillId="2" borderId="7" xfId="0" applyFont="1" applyFill="1" applyBorder="1"/>
    <xf numFmtId="0" fontId="4" fillId="2" borderId="7" xfId="0" applyFont="1" applyFill="1" applyBorder="1"/>
    <xf numFmtId="0" fontId="5" fillId="2" borderId="8" xfId="0" applyFont="1" applyFill="1" applyBorder="1"/>
    <xf numFmtId="0" fontId="6" fillId="0" borderId="9" xfId="0" applyFont="1" applyBorder="1" applyAlignment="1">
      <alignment horizontal="left" vertical="center" wrapText="1"/>
    </xf>
    <xf numFmtId="0" fontId="7" fillId="0" borderId="7" xfId="0" applyFont="1" applyBorder="1"/>
    <xf numFmtId="0" fontId="7" fillId="0" borderId="11" xfId="0" applyFont="1" applyBorder="1"/>
    <xf numFmtId="0" fontId="8" fillId="0" borderId="13" xfId="0" applyFont="1" applyBorder="1" applyAlignment="1">
      <alignment wrapText="1"/>
    </xf>
    <xf numFmtId="0" fontId="9" fillId="0" borderId="13" xfId="0" applyFont="1" applyBorder="1" applyAlignment="1">
      <alignment horizontal="center" wrapText="1"/>
    </xf>
    <xf numFmtId="0" fontId="10" fillId="2" borderId="15" xfId="0" applyFont="1" applyFill="1" applyBorder="1" applyAlignment="1">
      <alignment wrapText="1"/>
    </xf>
    <xf numFmtId="0" fontId="9" fillId="2" borderId="16" xfId="0" applyFont="1" applyFill="1" applyBorder="1" applyAlignment="1">
      <alignment wrapText="1"/>
    </xf>
    <xf numFmtId="0" fontId="10" fillId="2" borderId="16" xfId="0" applyFont="1" applyFill="1" applyBorder="1" applyAlignment="1">
      <alignment wrapText="1"/>
    </xf>
    <xf numFmtId="0" fontId="10" fillId="2" borderId="13" xfId="0" applyFont="1" applyFill="1" applyBorder="1" applyAlignment="1">
      <alignment wrapText="1"/>
    </xf>
    <xf numFmtId="0" fontId="5" fillId="2" borderId="5" xfId="0" applyFont="1" applyFill="1" applyBorder="1" applyAlignment="1"/>
    <xf numFmtId="164" fontId="7" fillId="0" borderId="14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164" fontId="7" fillId="0" borderId="12" xfId="0" applyNumberFormat="1" applyFont="1" applyBorder="1" applyAlignment="1">
      <alignment horizontal="center"/>
    </xf>
    <xf numFmtId="164" fontId="7" fillId="0" borderId="10" xfId="0" applyNumberFormat="1" applyFont="1" applyBorder="1" applyAlignment="1">
      <alignment horizontal="center"/>
    </xf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5B9BD5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5"/>
  <sheetViews>
    <sheetView tabSelected="1" zoomScaleNormal="100" workbookViewId="0">
      <selection activeCell="B29" sqref="B29"/>
    </sheetView>
  </sheetViews>
  <sheetFormatPr defaultColWidth="37.28515625" defaultRowHeight="14.25"/>
  <cols>
    <col min="2" max="2" width="23.140625" customWidth="1"/>
    <col min="3" max="3" width="16.7109375" customWidth="1"/>
    <col min="4" max="4" width="37.28515625" customWidth="1"/>
    <col min="5" max="5" width="18.85546875" customWidth="1"/>
    <col min="6" max="6" width="31.7109375" customWidth="1"/>
    <col min="7" max="7" width="32" customWidth="1"/>
  </cols>
  <sheetData>
    <row r="1" spans="1:7" ht="18" customHeight="1">
      <c r="A1" s="1" t="s">
        <v>0</v>
      </c>
      <c r="B1" s="20" t="s">
        <v>1</v>
      </c>
      <c r="C1" s="20"/>
      <c r="D1" s="20"/>
      <c r="E1" s="20"/>
      <c r="F1" s="20"/>
      <c r="G1" s="20"/>
    </row>
    <row r="2" spans="1:7" ht="18" customHeight="1">
      <c r="A2" s="2" t="s">
        <v>2</v>
      </c>
      <c r="B2" s="3">
        <v>2</v>
      </c>
      <c r="C2" s="4" t="str">
        <f>IF(B2&gt;4,"No viable","Viable")</f>
        <v>Viable</v>
      </c>
      <c r="D2" s="18" t="str">
        <f>CONCATENATE("Las semanas destinadas son: "&amp; B2)</f>
        <v>Las semanas destinadas son: 2</v>
      </c>
      <c r="E2" s="18"/>
      <c r="F2" s="18"/>
      <c r="G2" s="18"/>
    </row>
    <row r="3" spans="1:7" ht="30" customHeight="1">
      <c r="A3" s="5" t="s">
        <v>3</v>
      </c>
      <c r="B3" s="6" t="s">
        <v>4</v>
      </c>
      <c r="C3" s="6" t="s">
        <v>5</v>
      </c>
      <c r="D3" s="7" t="s">
        <v>6</v>
      </c>
      <c r="E3" s="6" t="s">
        <v>7</v>
      </c>
      <c r="F3" s="6" t="s">
        <v>8</v>
      </c>
      <c r="G3" s="8" t="s">
        <v>9</v>
      </c>
    </row>
    <row r="4" spans="1:7" ht="30" customHeight="1">
      <c r="A4" s="9" t="s">
        <v>10</v>
      </c>
      <c r="B4" s="10">
        <v>8</v>
      </c>
      <c r="C4" s="10">
        <v>3</v>
      </c>
      <c r="D4" s="10">
        <v>3</v>
      </c>
      <c r="E4" s="10">
        <v>6</v>
      </c>
      <c r="F4" s="10">
        <f>C4*D4*E4</f>
        <v>54</v>
      </c>
      <c r="G4" s="22">
        <f>AVERAGE(B4:B8)</f>
        <v>6.4</v>
      </c>
    </row>
    <row r="5" spans="1:7" ht="30" customHeight="1">
      <c r="A5" s="9" t="s">
        <v>11</v>
      </c>
      <c r="B5" s="10">
        <v>8</v>
      </c>
      <c r="C5" s="10">
        <v>3</v>
      </c>
      <c r="D5" s="10">
        <v>3</v>
      </c>
      <c r="E5" s="10">
        <v>6</v>
      </c>
      <c r="F5" s="10">
        <f>C5*D5*E5</f>
        <v>54</v>
      </c>
      <c r="G5" s="22"/>
    </row>
    <row r="6" spans="1:7" ht="30" customHeight="1">
      <c r="A6" s="9" t="s">
        <v>12</v>
      </c>
      <c r="B6" s="10">
        <v>8</v>
      </c>
      <c r="C6" s="10">
        <v>3</v>
      </c>
      <c r="D6" s="10">
        <v>3</v>
      </c>
      <c r="E6" s="10">
        <v>6</v>
      </c>
      <c r="F6" s="10">
        <f>C6*D6*E6</f>
        <v>54</v>
      </c>
      <c r="G6" s="22"/>
    </row>
    <row r="7" spans="1:7" ht="30" customHeight="1">
      <c r="A7" s="9" t="s">
        <v>13</v>
      </c>
      <c r="B7" s="10">
        <v>5</v>
      </c>
      <c r="C7" s="10">
        <v>3</v>
      </c>
      <c r="D7" s="10">
        <v>2</v>
      </c>
      <c r="E7" s="10">
        <v>6</v>
      </c>
      <c r="F7" s="10">
        <f>C7*D7*E7</f>
        <v>36</v>
      </c>
      <c r="G7" s="22"/>
    </row>
    <row r="8" spans="1:7" ht="30" customHeight="1">
      <c r="A8" s="9" t="s">
        <v>14</v>
      </c>
      <c r="B8" s="11">
        <v>3</v>
      </c>
      <c r="C8" s="11">
        <v>3</v>
      </c>
      <c r="D8" s="11">
        <v>2</v>
      </c>
      <c r="E8" s="11">
        <v>6</v>
      </c>
      <c r="F8" s="11">
        <f>C8*D8*E8</f>
        <v>36</v>
      </c>
      <c r="G8" s="22"/>
    </row>
    <row r="9" spans="1:7" ht="15" customHeight="1"/>
    <row r="10" spans="1:7" ht="18" customHeight="1">
      <c r="A10" s="1" t="s">
        <v>15</v>
      </c>
      <c r="B10" s="20" t="s">
        <v>16</v>
      </c>
      <c r="C10" s="20"/>
      <c r="D10" s="20"/>
      <c r="E10" s="20"/>
      <c r="F10" s="20"/>
      <c r="G10" s="20"/>
    </row>
    <row r="11" spans="1:7" ht="18" customHeight="1">
      <c r="A11" s="2" t="s">
        <v>2</v>
      </c>
      <c r="B11" s="3">
        <v>2</v>
      </c>
      <c r="C11" s="4" t="str">
        <f>IF(B11&gt;4,"No viable","Viable")</f>
        <v>Viable</v>
      </c>
      <c r="D11" s="18" t="str">
        <f>CONCATENATE("Las semanas destinadas son: "&amp; B11)</f>
        <v>Las semanas destinadas son: 2</v>
      </c>
      <c r="E11" s="18"/>
      <c r="F11" s="18"/>
      <c r="G11" s="18"/>
    </row>
    <row r="12" spans="1:7" ht="30" customHeight="1">
      <c r="A12" s="5" t="s">
        <v>3</v>
      </c>
      <c r="B12" s="6" t="s">
        <v>4</v>
      </c>
      <c r="C12" s="6" t="s">
        <v>5</v>
      </c>
      <c r="D12" s="7" t="s">
        <v>6</v>
      </c>
      <c r="E12" s="6" t="s">
        <v>7</v>
      </c>
      <c r="F12" s="6" t="s">
        <v>8</v>
      </c>
      <c r="G12" s="8" t="s">
        <v>9</v>
      </c>
    </row>
    <row r="13" spans="1:7" ht="30" customHeight="1">
      <c r="A13" s="9" t="s">
        <v>17</v>
      </c>
      <c r="B13" s="10">
        <v>8</v>
      </c>
      <c r="C13" s="10">
        <v>3</v>
      </c>
      <c r="D13" s="10">
        <v>3</v>
      </c>
      <c r="E13" s="10">
        <v>6</v>
      </c>
      <c r="F13" s="10">
        <f>C13*D13*E13</f>
        <v>54</v>
      </c>
      <c r="G13" s="21">
        <f>AVERAGE(B13:B18)</f>
        <v>4.833333333333333</v>
      </c>
    </row>
    <row r="14" spans="1:7" ht="30" customHeight="1">
      <c r="A14" s="9" t="s">
        <v>18</v>
      </c>
      <c r="B14" s="10">
        <v>5</v>
      </c>
      <c r="C14" s="10">
        <v>3</v>
      </c>
      <c r="D14" s="10">
        <v>3</v>
      </c>
      <c r="E14" s="10">
        <v>6</v>
      </c>
      <c r="F14" s="10">
        <f>C14*D14*E14</f>
        <v>54</v>
      </c>
      <c r="G14" s="21"/>
    </row>
    <row r="15" spans="1:7" ht="30" customHeight="1">
      <c r="A15" s="9" t="s">
        <v>19</v>
      </c>
      <c r="B15" s="10">
        <v>5</v>
      </c>
      <c r="C15" s="10">
        <v>3</v>
      </c>
      <c r="D15" s="10">
        <v>3</v>
      </c>
      <c r="E15" s="10">
        <v>6</v>
      </c>
      <c r="F15" s="10">
        <f>C15*D15*E15</f>
        <v>54</v>
      </c>
      <c r="G15" s="21"/>
    </row>
    <row r="16" spans="1:7" ht="30" customHeight="1">
      <c r="A16" s="9" t="s">
        <v>20</v>
      </c>
      <c r="B16" s="10">
        <v>3</v>
      </c>
      <c r="C16" s="10">
        <v>3</v>
      </c>
      <c r="D16" s="10">
        <v>2</v>
      </c>
      <c r="E16" s="10">
        <v>6</v>
      </c>
      <c r="F16" s="10">
        <f>C16*D16*E16</f>
        <v>36</v>
      </c>
      <c r="G16" s="21"/>
    </row>
    <row r="17" spans="1:7" ht="30" customHeight="1">
      <c r="A17" s="9" t="s">
        <v>21</v>
      </c>
      <c r="B17" s="10">
        <v>3</v>
      </c>
      <c r="C17" s="10">
        <v>3</v>
      </c>
      <c r="D17" s="10">
        <v>2</v>
      </c>
      <c r="E17" s="10">
        <v>6</v>
      </c>
      <c r="F17" s="10">
        <f>C17*D17*E17</f>
        <v>36</v>
      </c>
      <c r="G17" s="21"/>
    </row>
    <row r="18" spans="1:7" ht="30" customHeight="1">
      <c r="A18" s="9" t="s">
        <v>22</v>
      </c>
      <c r="B18" s="11">
        <v>5</v>
      </c>
      <c r="C18" s="11">
        <v>3</v>
      </c>
      <c r="D18" s="11">
        <v>3</v>
      </c>
      <c r="E18" s="11">
        <v>6</v>
      </c>
      <c r="F18" s="11">
        <f>C18*D18*E18</f>
        <v>54</v>
      </c>
      <c r="G18" s="21"/>
    </row>
    <row r="19" spans="1:7" ht="15" customHeight="1">
      <c r="A19" s="12"/>
      <c r="B19" s="13"/>
    </row>
    <row r="20" spans="1:7" ht="18" customHeight="1">
      <c r="A20" s="1" t="s">
        <v>23</v>
      </c>
      <c r="B20" s="20" t="s">
        <v>24</v>
      </c>
      <c r="C20" s="20"/>
      <c r="D20" s="20"/>
      <c r="E20" s="20"/>
      <c r="F20" s="20"/>
      <c r="G20" s="20"/>
    </row>
    <row r="21" spans="1:7" ht="18" customHeight="1">
      <c r="A21" s="2" t="s">
        <v>2</v>
      </c>
      <c r="B21" s="3">
        <v>2</v>
      </c>
      <c r="C21" s="4" t="str">
        <f>IF(B21&gt;4,"No viable","Viable")</f>
        <v>Viable</v>
      </c>
      <c r="D21" s="18" t="str">
        <f>CONCATENATE("Las semanas destinadas son: "&amp; B21)</f>
        <v>Las semanas destinadas son: 2</v>
      </c>
      <c r="E21" s="18"/>
      <c r="F21" s="18"/>
      <c r="G21" s="18"/>
    </row>
    <row r="22" spans="1:7" ht="30" customHeight="1">
      <c r="A22" s="5" t="s">
        <v>3</v>
      </c>
      <c r="B22" s="6" t="s">
        <v>4</v>
      </c>
      <c r="C22" s="6" t="s">
        <v>5</v>
      </c>
      <c r="D22" s="7" t="s">
        <v>6</v>
      </c>
      <c r="E22" s="6" t="s">
        <v>7</v>
      </c>
      <c r="F22" s="6" t="s">
        <v>8</v>
      </c>
      <c r="G22" s="8" t="s">
        <v>9</v>
      </c>
    </row>
    <row r="23" spans="1:7" ht="30" customHeight="1">
      <c r="A23" s="9" t="s">
        <v>25</v>
      </c>
      <c r="B23" s="10">
        <v>8</v>
      </c>
      <c r="C23" s="10">
        <v>3</v>
      </c>
      <c r="D23" s="10">
        <v>3</v>
      </c>
      <c r="E23" s="10">
        <v>6</v>
      </c>
      <c r="F23" s="10">
        <f>C23*D23*E23</f>
        <v>54</v>
      </c>
      <c r="G23" s="19">
        <f>AVERAGE(B23:B28)</f>
        <v>4.5</v>
      </c>
    </row>
    <row r="24" spans="1:7" ht="30" customHeight="1">
      <c r="A24" s="9" t="s">
        <v>26</v>
      </c>
      <c r="B24" s="10">
        <v>5</v>
      </c>
      <c r="C24" s="10">
        <v>3</v>
      </c>
      <c r="D24" s="10">
        <v>3</v>
      </c>
      <c r="E24" s="10">
        <v>6</v>
      </c>
      <c r="F24" s="10">
        <f>C24*D24*E24</f>
        <v>54</v>
      </c>
      <c r="G24" s="19"/>
    </row>
    <row r="25" spans="1:7" ht="30" customHeight="1">
      <c r="A25" s="9" t="s">
        <v>27</v>
      </c>
      <c r="B25" s="10">
        <v>5</v>
      </c>
      <c r="C25" s="10">
        <v>3</v>
      </c>
      <c r="D25" s="10">
        <v>3</v>
      </c>
      <c r="E25" s="10">
        <v>6</v>
      </c>
      <c r="F25" s="10">
        <f>C25*D25*E25</f>
        <v>54</v>
      </c>
      <c r="G25" s="19"/>
    </row>
    <row r="26" spans="1:7" ht="30" customHeight="1">
      <c r="A26" s="9" t="s">
        <v>28</v>
      </c>
      <c r="B26" s="10">
        <v>3</v>
      </c>
      <c r="C26" s="10">
        <v>3</v>
      </c>
      <c r="D26" s="10">
        <v>2</v>
      </c>
      <c r="E26" s="10">
        <v>6</v>
      </c>
      <c r="F26" s="10">
        <f>C26*D26*E26</f>
        <v>36</v>
      </c>
      <c r="G26" s="19"/>
    </row>
    <row r="27" spans="1:7" ht="30" customHeight="1">
      <c r="A27" s="9" t="s">
        <v>29</v>
      </c>
      <c r="B27" s="10">
        <v>3</v>
      </c>
      <c r="C27" s="10">
        <v>3</v>
      </c>
      <c r="D27" s="10">
        <v>2</v>
      </c>
      <c r="E27" s="10">
        <v>6</v>
      </c>
      <c r="F27" s="10">
        <f>C27*D27*E27</f>
        <v>36</v>
      </c>
      <c r="G27" s="19"/>
    </row>
    <row r="28" spans="1:7" ht="30" customHeight="1">
      <c r="A28" s="9" t="s">
        <v>30</v>
      </c>
      <c r="B28" s="11">
        <v>3</v>
      </c>
      <c r="C28" s="11">
        <v>3</v>
      </c>
      <c r="D28" s="11">
        <v>2</v>
      </c>
      <c r="E28" s="11">
        <v>6</v>
      </c>
      <c r="F28" s="11">
        <f>C28*D28*E28</f>
        <v>36</v>
      </c>
      <c r="G28" s="19"/>
    </row>
    <row r="29" spans="1:7" ht="15" customHeight="1">
      <c r="A29" s="14"/>
      <c r="B29" s="15"/>
      <c r="C29" s="16"/>
      <c r="D29" s="17"/>
    </row>
    <row r="30" spans="1:7" ht="18" customHeight="1">
      <c r="A30" s="1" t="s">
        <v>31</v>
      </c>
      <c r="B30" s="20" t="s">
        <v>32</v>
      </c>
      <c r="C30" s="20"/>
      <c r="D30" s="20"/>
      <c r="E30" s="20"/>
      <c r="F30" s="20"/>
      <c r="G30" s="20"/>
    </row>
    <row r="31" spans="1:7" ht="18" customHeight="1">
      <c r="A31" s="2" t="s">
        <v>2</v>
      </c>
      <c r="B31" s="3">
        <v>2</v>
      </c>
      <c r="C31" s="4" t="str">
        <f>IF(B31&gt;4,"No viable","Viable")</f>
        <v>Viable</v>
      </c>
      <c r="D31" s="18" t="str">
        <f>CONCATENATE("Las semanas destinadas son: "&amp; B31)</f>
        <v>Las semanas destinadas son: 2</v>
      </c>
      <c r="E31" s="18"/>
      <c r="F31" s="18"/>
      <c r="G31" s="18"/>
    </row>
    <row r="32" spans="1:7" ht="30" customHeight="1">
      <c r="A32" s="5" t="s">
        <v>3</v>
      </c>
      <c r="B32" s="6" t="s">
        <v>4</v>
      </c>
      <c r="C32" s="6" t="s">
        <v>5</v>
      </c>
      <c r="D32" s="7" t="s">
        <v>6</v>
      </c>
      <c r="E32" s="6" t="s">
        <v>7</v>
      </c>
      <c r="F32" s="6" t="s">
        <v>8</v>
      </c>
      <c r="G32" s="8" t="s">
        <v>9</v>
      </c>
    </row>
    <row r="33" spans="1:7" ht="30" customHeight="1">
      <c r="A33" s="9" t="s">
        <v>33</v>
      </c>
      <c r="B33" s="10">
        <v>8</v>
      </c>
      <c r="C33" s="10">
        <v>3</v>
      </c>
      <c r="D33" s="10">
        <v>3</v>
      </c>
      <c r="E33" s="10">
        <v>6</v>
      </c>
      <c r="F33" s="10">
        <f>C33*D33*E33</f>
        <v>54</v>
      </c>
      <c r="G33" s="19">
        <f>AVERAGE(B33:B38)</f>
        <v>5.333333333333333</v>
      </c>
    </row>
    <row r="34" spans="1:7" ht="30" customHeight="1">
      <c r="A34" s="9" t="s">
        <v>34</v>
      </c>
      <c r="B34" s="10">
        <v>5</v>
      </c>
      <c r="C34" s="10">
        <v>3</v>
      </c>
      <c r="D34" s="10">
        <v>3</v>
      </c>
      <c r="E34" s="10">
        <v>6</v>
      </c>
      <c r="F34" s="10">
        <f>C34*D34*E34</f>
        <v>54</v>
      </c>
      <c r="G34" s="19"/>
    </row>
    <row r="35" spans="1:7" ht="30" customHeight="1">
      <c r="A35" s="9" t="s">
        <v>35</v>
      </c>
      <c r="B35" s="10">
        <v>3</v>
      </c>
      <c r="C35" s="10">
        <v>3</v>
      </c>
      <c r="D35" s="10">
        <v>2</v>
      </c>
      <c r="E35" s="10">
        <v>6</v>
      </c>
      <c r="F35" s="10">
        <f>C35*D35*E35</f>
        <v>36</v>
      </c>
      <c r="G35" s="19"/>
    </row>
    <row r="36" spans="1:7" ht="30" customHeight="1">
      <c r="A36" s="9" t="s">
        <v>36</v>
      </c>
      <c r="B36" s="10">
        <v>3</v>
      </c>
      <c r="C36" s="10">
        <v>3</v>
      </c>
      <c r="D36" s="10">
        <v>2</v>
      </c>
      <c r="E36" s="10">
        <v>6</v>
      </c>
      <c r="F36" s="10">
        <f>C36*D36*E36</f>
        <v>36</v>
      </c>
      <c r="G36" s="19"/>
    </row>
    <row r="37" spans="1:7" ht="30" customHeight="1">
      <c r="A37" s="9" t="s">
        <v>37</v>
      </c>
      <c r="B37" s="10">
        <v>8</v>
      </c>
      <c r="C37" s="10">
        <v>3</v>
      </c>
      <c r="D37" s="10">
        <v>3</v>
      </c>
      <c r="E37" s="10">
        <v>6</v>
      </c>
      <c r="F37" s="10">
        <f>C37*D37*E37</f>
        <v>54</v>
      </c>
      <c r="G37" s="19"/>
    </row>
    <row r="38" spans="1:7" ht="30" customHeight="1">
      <c r="A38" s="9" t="s">
        <v>38</v>
      </c>
      <c r="B38" s="11">
        <v>5</v>
      </c>
      <c r="C38" s="11">
        <v>3</v>
      </c>
      <c r="D38" s="11">
        <v>3</v>
      </c>
      <c r="E38" s="11">
        <v>6</v>
      </c>
      <c r="F38" s="11">
        <f>C38*D38*E38</f>
        <v>54</v>
      </c>
      <c r="G38" s="19"/>
    </row>
    <row r="39" spans="1:7" ht="15" customHeight="1"/>
    <row r="40" spans="1:7" ht="18" customHeight="1">
      <c r="A40" s="1" t="s">
        <v>39</v>
      </c>
      <c r="B40" s="20" t="s">
        <v>40</v>
      </c>
      <c r="C40" s="20"/>
      <c r="D40" s="20"/>
      <c r="E40" s="20"/>
      <c r="F40" s="20"/>
      <c r="G40" s="20"/>
    </row>
    <row r="41" spans="1:7" ht="18" customHeight="1">
      <c r="A41" s="2" t="s">
        <v>2</v>
      </c>
      <c r="B41" s="3">
        <v>2</v>
      </c>
      <c r="C41" s="4" t="str">
        <f>IF(B41&gt;4,"No viable","Viable")</f>
        <v>Viable</v>
      </c>
      <c r="D41" s="18" t="str">
        <f>CONCATENATE("Las semanas destinadas son: "&amp; B41)</f>
        <v>Las semanas destinadas son: 2</v>
      </c>
      <c r="E41" s="18"/>
      <c r="F41" s="18"/>
      <c r="G41" s="18"/>
    </row>
    <row r="42" spans="1:7" ht="30" customHeight="1">
      <c r="A42" s="5" t="s">
        <v>3</v>
      </c>
      <c r="B42" s="6" t="s">
        <v>4</v>
      </c>
      <c r="C42" s="6" t="s">
        <v>5</v>
      </c>
      <c r="D42" s="7" t="s">
        <v>6</v>
      </c>
      <c r="E42" s="6" t="s">
        <v>7</v>
      </c>
      <c r="F42" s="6" t="s">
        <v>8</v>
      </c>
      <c r="G42" s="8" t="s">
        <v>9</v>
      </c>
    </row>
    <row r="43" spans="1:7" ht="30" customHeight="1">
      <c r="A43" s="9" t="s">
        <v>41</v>
      </c>
      <c r="B43" s="10">
        <v>8</v>
      </c>
      <c r="C43" s="10">
        <v>3</v>
      </c>
      <c r="D43" s="10">
        <v>3</v>
      </c>
      <c r="E43" s="10">
        <v>6</v>
      </c>
      <c r="F43" s="10">
        <f>C43*D43*E43</f>
        <v>54</v>
      </c>
      <c r="G43" s="19">
        <f>AVERAGE(B43:B49)</f>
        <v>4.7142857142857144</v>
      </c>
    </row>
    <row r="44" spans="1:7" ht="30" customHeight="1">
      <c r="A44" s="9" t="s">
        <v>42</v>
      </c>
      <c r="B44" s="10">
        <v>3</v>
      </c>
      <c r="C44" s="10">
        <v>3</v>
      </c>
      <c r="D44" s="10">
        <v>2</v>
      </c>
      <c r="E44" s="10">
        <v>6</v>
      </c>
      <c r="F44" s="10">
        <f>C44*D44*E44</f>
        <v>36</v>
      </c>
      <c r="G44" s="19"/>
    </row>
    <row r="45" spans="1:7" ht="30" customHeight="1">
      <c r="A45" s="9" t="s">
        <v>43</v>
      </c>
      <c r="B45" s="10">
        <v>5</v>
      </c>
      <c r="C45" s="10">
        <v>3</v>
      </c>
      <c r="D45" s="10">
        <v>3</v>
      </c>
      <c r="E45" s="10">
        <v>6</v>
      </c>
      <c r="F45" s="10">
        <f>C45*D45*E45</f>
        <v>54</v>
      </c>
      <c r="G45" s="19"/>
    </row>
    <row r="46" spans="1:7" ht="30" customHeight="1">
      <c r="A46" s="9" t="s">
        <v>44</v>
      </c>
      <c r="B46" s="10">
        <v>8</v>
      </c>
      <c r="C46" s="10">
        <v>3</v>
      </c>
      <c r="D46" s="10">
        <v>3</v>
      </c>
      <c r="E46" s="10">
        <v>6</v>
      </c>
      <c r="F46" s="10">
        <f>C46*D46*E46</f>
        <v>54</v>
      </c>
      <c r="G46" s="19"/>
    </row>
    <row r="47" spans="1:7" ht="30" customHeight="1">
      <c r="A47" s="9" t="s">
        <v>45</v>
      </c>
      <c r="B47" s="10">
        <v>3</v>
      </c>
      <c r="C47" s="10">
        <v>3</v>
      </c>
      <c r="D47" s="10">
        <v>2</v>
      </c>
      <c r="E47" s="10">
        <v>6</v>
      </c>
      <c r="F47" s="10">
        <f>C47*D47*E47</f>
        <v>36</v>
      </c>
      <c r="G47" s="19"/>
    </row>
    <row r="48" spans="1:7" ht="30" customHeight="1">
      <c r="A48" s="9" t="s">
        <v>46</v>
      </c>
      <c r="B48" s="10">
        <v>3</v>
      </c>
      <c r="C48" s="10">
        <v>3</v>
      </c>
      <c r="D48" s="10">
        <v>2</v>
      </c>
      <c r="E48" s="10">
        <v>6</v>
      </c>
      <c r="F48" s="10">
        <f>C48*D48*E48</f>
        <v>36</v>
      </c>
      <c r="G48" s="19"/>
    </row>
    <row r="49" spans="1:7" ht="30" customHeight="1">
      <c r="A49" s="9" t="s">
        <v>47</v>
      </c>
      <c r="B49" s="11">
        <v>3</v>
      </c>
      <c r="C49" s="11">
        <v>3</v>
      </c>
      <c r="D49" s="11">
        <v>2</v>
      </c>
      <c r="E49" s="11">
        <v>6</v>
      </c>
      <c r="F49" s="11">
        <f>C49*D49*E49</f>
        <v>36</v>
      </c>
      <c r="G49" s="19"/>
    </row>
    <row r="50" spans="1:7" ht="15" customHeight="1"/>
    <row r="51" spans="1:7" ht="18" customHeight="1">
      <c r="A51" s="1" t="s">
        <v>48</v>
      </c>
      <c r="B51" s="20" t="s">
        <v>49</v>
      </c>
      <c r="C51" s="20"/>
      <c r="D51" s="20"/>
      <c r="E51" s="20"/>
      <c r="F51" s="20"/>
      <c r="G51" s="20"/>
    </row>
    <row r="52" spans="1:7" ht="18" customHeight="1">
      <c r="A52" s="2" t="s">
        <v>2</v>
      </c>
      <c r="B52" s="3">
        <v>2</v>
      </c>
      <c r="C52" s="4" t="str">
        <f>IF(B52&gt;4,"No viable","Viable")</f>
        <v>Viable</v>
      </c>
      <c r="D52" s="18" t="str">
        <f>CONCATENATE("Las semanas destinadas son: "&amp; B52)</f>
        <v>Las semanas destinadas son: 2</v>
      </c>
      <c r="E52" s="18"/>
      <c r="F52" s="18"/>
      <c r="G52" s="18"/>
    </row>
    <row r="53" spans="1:7" ht="30" customHeight="1">
      <c r="A53" s="5" t="s">
        <v>3</v>
      </c>
      <c r="B53" s="6" t="s">
        <v>4</v>
      </c>
      <c r="C53" s="6" t="s">
        <v>5</v>
      </c>
      <c r="D53" s="7" t="s">
        <v>6</v>
      </c>
      <c r="E53" s="6" t="s">
        <v>7</v>
      </c>
      <c r="F53" s="6" t="s">
        <v>8</v>
      </c>
      <c r="G53" s="8" t="s">
        <v>9</v>
      </c>
    </row>
    <row r="54" spans="1:7" ht="30" customHeight="1">
      <c r="A54" s="9" t="s">
        <v>50</v>
      </c>
      <c r="B54" s="10">
        <v>5</v>
      </c>
      <c r="C54" s="10">
        <v>3</v>
      </c>
      <c r="D54" s="10">
        <v>3</v>
      </c>
      <c r="E54" s="10">
        <v>6</v>
      </c>
      <c r="F54" s="10">
        <f>C54*D54*E54</f>
        <v>54</v>
      </c>
      <c r="G54" s="19">
        <f>AVERAGE(B54:B59)</f>
        <v>5.5</v>
      </c>
    </row>
    <row r="55" spans="1:7" ht="30" customHeight="1">
      <c r="A55" s="9" t="s">
        <v>51</v>
      </c>
      <c r="B55" s="10">
        <v>5</v>
      </c>
      <c r="C55" s="10">
        <v>3</v>
      </c>
      <c r="D55" s="10">
        <v>3</v>
      </c>
      <c r="E55" s="10">
        <v>6</v>
      </c>
      <c r="F55" s="10">
        <f>C55*D55*E55</f>
        <v>54</v>
      </c>
      <c r="G55" s="19"/>
    </row>
    <row r="56" spans="1:7" ht="30" customHeight="1">
      <c r="A56" s="9" t="s">
        <v>52</v>
      </c>
      <c r="B56" s="10">
        <v>5</v>
      </c>
      <c r="C56" s="10">
        <v>3</v>
      </c>
      <c r="D56" s="10">
        <v>3</v>
      </c>
      <c r="E56" s="10">
        <v>6</v>
      </c>
      <c r="F56" s="10">
        <f>C56*D56*E56</f>
        <v>54</v>
      </c>
      <c r="G56" s="19"/>
    </row>
    <row r="57" spans="1:7" ht="30" customHeight="1">
      <c r="A57" s="9" t="s">
        <v>53</v>
      </c>
      <c r="B57" s="10">
        <v>5</v>
      </c>
      <c r="C57" s="10">
        <v>3</v>
      </c>
      <c r="D57" s="10">
        <v>3</v>
      </c>
      <c r="E57" s="10">
        <v>6</v>
      </c>
      <c r="F57" s="10">
        <f>C57*D57*E57</f>
        <v>54</v>
      </c>
      <c r="G57" s="19"/>
    </row>
    <row r="58" spans="1:7" ht="30" customHeight="1">
      <c r="A58" s="9" t="s">
        <v>54</v>
      </c>
      <c r="B58" s="10">
        <v>5</v>
      </c>
      <c r="C58" s="10">
        <v>3</v>
      </c>
      <c r="D58" s="10">
        <v>3</v>
      </c>
      <c r="E58" s="10">
        <v>6</v>
      </c>
      <c r="F58" s="10">
        <f>C58*D58*E58</f>
        <v>54</v>
      </c>
      <c r="G58" s="19"/>
    </row>
    <row r="59" spans="1:7" ht="30" customHeight="1">
      <c r="A59" s="9" t="s">
        <v>55</v>
      </c>
      <c r="B59" s="11">
        <v>8</v>
      </c>
      <c r="C59" s="11">
        <v>3</v>
      </c>
      <c r="D59" s="11">
        <v>3</v>
      </c>
      <c r="E59" s="11">
        <v>6</v>
      </c>
      <c r="F59" s="11">
        <f>C59*D59*E59</f>
        <v>54</v>
      </c>
      <c r="G59" s="19"/>
    </row>
    <row r="60" spans="1:7" ht="15" customHeight="1"/>
    <row r="61" spans="1:7" ht="18" customHeight="1">
      <c r="A61" s="1" t="s">
        <v>56</v>
      </c>
      <c r="B61" s="20" t="s">
        <v>57</v>
      </c>
      <c r="C61" s="20"/>
      <c r="D61" s="20"/>
      <c r="E61" s="20"/>
      <c r="F61" s="20"/>
      <c r="G61" s="20"/>
    </row>
    <row r="62" spans="1:7" ht="18" customHeight="1">
      <c r="A62" s="2" t="s">
        <v>2</v>
      </c>
      <c r="B62" s="3">
        <v>2</v>
      </c>
      <c r="C62" s="4" t="str">
        <f>IF(B62&gt;4,"No viable","Viable")</f>
        <v>Viable</v>
      </c>
      <c r="D62" s="18" t="str">
        <f>CONCATENATE("Las semanas destinadas son: "&amp; B62)</f>
        <v>Las semanas destinadas son: 2</v>
      </c>
      <c r="E62" s="18"/>
      <c r="F62" s="18"/>
      <c r="G62" s="18"/>
    </row>
    <row r="63" spans="1:7" ht="30" customHeight="1">
      <c r="A63" s="5" t="s">
        <v>3</v>
      </c>
      <c r="B63" s="6" t="s">
        <v>4</v>
      </c>
      <c r="C63" s="6" t="s">
        <v>5</v>
      </c>
      <c r="D63" s="7" t="s">
        <v>6</v>
      </c>
      <c r="E63" s="6" t="s">
        <v>7</v>
      </c>
      <c r="F63" s="6" t="s">
        <v>8</v>
      </c>
      <c r="G63" s="8" t="s">
        <v>9</v>
      </c>
    </row>
    <row r="64" spans="1:7" ht="30" customHeight="1">
      <c r="A64" s="9" t="s">
        <v>58</v>
      </c>
      <c r="B64" s="10">
        <v>3</v>
      </c>
      <c r="C64" s="10">
        <v>3</v>
      </c>
      <c r="D64" s="10">
        <v>2</v>
      </c>
      <c r="E64" s="10">
        <v>6</v>
      </c>
      <c r="F64" s="10">
        <f>C64*D64*E64</f>
        <v>36</v>
      </c>
      <c r="G64" s="19">
        <f>AVERAGE(B64:B70)</f>
        <v>3.8571428571428572</v>
      </c>
    </row>
    <row r="65" spans="1:7" ht="30" customHeight="1">
      <c r="A65" s="9" t="s">
        <v>59</v>
      </c>
      <c r="B65" s="10">
        <v>3</v>
      </c>
      <c r="C65" s="10">
        <v>3</v>
      </c>
      <c r="D65" s="10">
        <v>2</v>
      </c>
      <c r="E65" s="10">
        <v>6</v>
      </c>
      <c r="F65" s="10">
        <f>C65*D65*E65</f>
        <v>36</v>
      </c>
      <c r="G65" s="19"/>
    </row>
    <row r="66" spans="1:7" ht="30" customHeight="1">
      <c r="A66" s="9" t="s">
        <v>60</v>
      </c>
      <c r="B66" s="10">
        <v>5</v>
      </c>
      <c r="C66" s="10">
        <v>3</v>
      </c>
      <c r="D66" s="10">
        <v>3</v>
      </c>
      <c r="E66" s="10">
        <v>6</v>
      </c>
      <c r="F66" s="10">
        <f>C66*D66*E66</f>
        <v>54</v>
      </c>
      <c r="G66" s="19"/>
    </row>
    <row r="67" spans="1:7" ht="30" customHeight="1">
      <c r="A67" s="9" t="s">
        <v>61</v>
      </c>
      <c r="B67" s="10">
        <v>5</v>
      </c>
      <c r="C67" s="10">
        <v>3</v>
      </c>
      <c r="D67" s="10">
        <v>3</v>
      </c>
      <c r="E67" s="10">
        <v>6</v>
      </c>
      <c r="F67" s="10">
        <f>C67*D67*E67</f>
        <v>54</v>
      </c>
      <c r="G67" s="19"/>
    </row>
    <row r="68" spans="1:7" ht="30" customHeight="1">
      <c r="A68" s="9" t="s">
        <v>62</v>
      </c>
      <c r="B68" s="10">
        <v>3</v>
      </c>
      <c r="C68" s="10">
        <v>3</v>
      </c>
      <c r="D68" s="10">
        <v>2</v>
      </c>
      <c r="E68" s="10">
        <v>6</v>
      </c>
      <c r="F68" s="10">
        <f>C68*D68*E68</f>
        <v>36</v>
      </c>
      <c r="G68" s="19"/>
    </row>
    <row r="69" spans="1:7" ht="30" customHeight="1">
      <c r="A69" s="9" t="s">
        <v>63</v>
      </c>
      <c r="B69" s="10">
        <v>3</v>
      </c>
      <c r="C69" s="10">
        <v>3</v>
      </c>
      <c r="D69" s="10">
        <v>2</v>
      </c>
      <c r="E69" s="10">
        <v>6</v>
      </c>
      <c r="F69" s="10">
        <f>C69*D69*E69</f>
        <v>36</v>
      </c>
      <c r="G69" s="19"/>
    </row>
    <row r="70" spans="1:7" ht="30" customHeight="1">
      <c r="A70" s="9" t="s">
        <v>64</v>
      </c>
      <c r="B70" s="11">
        <v>5</v>
      </c>
      <c r="C70" s="11">
        <v>3</v>
      </c>
      <c r="D70" s="11">
        <v>3</v>
      </c>
      <c r="E70" s="11">
        <v>6</v>
      </c>
      <c r="F70" s="11">
        <f>C70*D70*E70</f>
        <v>54</v>
      </c>
      <c r="G70" s="19"/>
    </row>
    <row r="71" spans="1:7" ht="15" customHeight="1"/>
    <row r="72" spans="1:7" ht="18" customHeight="1">
      <c r="A72" s="1" t="s">
        <v>65</v>
      </c>
      <c r="B72" s="20" t="s">
        <v>66</v>
      </c>
      <c r="C72" s="20"/>
      <c r="D72" s="20"/>
      <c r="E72" s="20"/>
      <c r="F72" s="20"/>
      <c r="G72" s="20"/>
    </row>
    <row r="73" spans="1:7" ht="18" customHeight="1">
      <c r="A73" s="2" t="s">
        <v>2</v>
      </c>
      <c r="B73" s="3">
        <v>2</v>
      </c>
      <c r="C73" s="4" t="str">
        <f>IF(B73&gt;4,"No viable","Viable")</f>
        <v>Viable</v>
      </c>
      <c r="D73" s="18" t="str">
        <f>CONCATENATE("Las semanas destinadas son: "&amp; B73)</f>
        <v>Las semanas destinadas son: 2</v>
      </c>
      <c r="E73" s="18"/>
      <c r="F73" s="18"/>
      <c r="G73" s="18"/>
    </row>
    <row r="74" spans="1:7" ht="30" customHeight="1">
      <c r="A74" s="5" t="s">
        <v>3</v>
      </c>
      <c r="B74" s="6" t="s">
        <v>4</v>
      </c>
      <c r="C74" s="6" t="s">
        <v>5</v>
      </c>
      <c r="D74" s="7" t="s">
        <v>6</v>
      </c>
      <c r="E74" s="6" t="s">
        <v>7</v>
      </c>
      <c r="F74" s="6" t="s">
        <v>8</v>
      </c>
      <c r="G74" s="8" t="s">
        <v>9</v>
      </c>
    </row>
    <row r="75" spans="1:7" ht="30" customHeight="1">
      <c r="A75" s="9" t="s">
        <v>67</v>
      </c>
      <c r="B75" s="10">
        <v>8</v>
      </c>
      <c r="C75" s="10">
        <v>3</v>
      </c>
      <c r="D75" s="10">
        <v>3</v>
      </c>
      <c r="E75" s="10">
        <v>6</v>
      </c>
      <c r="F75" s="10">
        <f>C75*D75*E75</f>
        <v>54</v>
      </c>
      <c r="G75" s="19">
        <f>AVERAGE(B75:B80)</f>
        <v>5.666666666666667</v>
      </c>
    </row>
    <row r="76" spans="1:7" ht="30" customHeight="1">
      <c r="A76" s="9" t="s">
        <v>68</v>
      </c>
      <c r="B76" s="10">
        <v>5</v>
      </c>
      <c r="C76" s="10">
        <v>3</v>
      </c>
      <c r="D76" s="10">
        <v>3</v>
      </c>
      <c r="E76" s="10">
        <v>6</v>
      </c>
      <c r="F76" s="10">
        <f>C76*D76*E76</f>
        <v>54</v>
      </c>
      <c r="G76" s="19"/>
    </row>
    <row r="77" spans="1:7" ht="30" customHeight="1">
      <c r="A77" s="9" t="s">
        <v>69</v>
      </c>
      <c r="B77" s="10">
        <v>5</v>
      </c>
      <c r="C77" s="10">
        <v>3</v>
      </c>
      <c r="D77" s="10">
        <v>3</v>
      </c>
      <c r="E77" s="10">
        <v>6</v>
      </c>
      <c r="F77" s="10">
        <f>C77*D77*E77</f>
        <v>54</v>
      </c>
      <c r="G77" s="19"/>
    </row>
    <row r="78" spans="1:7" ht="30" customHeight="1">
      <c r="A78" s="9" t="s">
        <v>70</v>
      </c>
      <c r="B78" s="10">
        <v>3</v>
      </c>
      <c r="C78" s="10">
        <v>3</v>
      </c>
      <c r="D78" s="10">
        <v>2</v>
      </c>
      <c r="E78" s="10">
        <v>6</v>
      </c>
      <c r="F78" s="10">
        <f>C78*D78*E78</f>
        <v>36</v>
      </c>
      <c r="G78" s="19"/>
    </row>
    <row r="79" spans="1:7" ht="30" customHeight="1">
      <c r="A79" s="9" t="s">
        <v>71</v>
      </c>
      <c r="B79" s="10">
        <v>8</v>
      </c>
      <c r="C79" s="10">
        <v>3</v>
      </c>
      <c r="D79" s="10">
        <v>3</v>
      </c>
      <c r="E79" s="10">
        <v>6</v>
      </c>
      <c r="F79" s="10">
        <f>C79*D79*E79</f>
        <v>54</v>
      </c>
      <c r="G79" s="19"/>
    </row>
    <row r="80" spans="1:7" ht="30" customHeight="1">
      <c r="A80" s="9" t="s">
        <v>72</v>
      </c>
      <c r="B80" s="11">
        <v>5</v>
      </c>
      <c r="C80" s="11">
        <v>3</v>
      </c>
      <c r="D80" s="11">
        <v>3</v>
      </c>
      <c r="E80" s="11">
        <v>6</v>
      </c>
      <c r="F80" s="11">
        <f>C80*D80*E80</f>
        <v>54</v>
      </c>
      <c r="G80" s="19"/>
    </row>
    <row r="81" spans="1:7" ht="15" customHeight="1"/>
    <row r="82" spans="1:7" ht="18" customHeight="1">
      <c r="A82" s="1" t="s">
        <v>73</v>
      </c>
      <c r="B82" s="20" t="s">
        <v>74</v>
      </c>
      <c r="C82" s="20"/>
      <c r="D82" s="20"/>
      <c r="E82" s="20"/>
      <c r="F82" s="20"/>
      <c r="G82" s="20"/>
    </row>
    <row r="83" spans="1:7" ht="18" customHeight="1">
      <c r="A83" s="2" t="s">
        <v>2</v>
      </c>
      <c r="B83" s="3">
        <v>2</v>
      </c>
      <c r="C83" s="4" t="str">
        <f>IF(B83&gt;4,"No viable","Viable")</f>
        <v>Viable</v>
      </c>
      <c r="D83" s="18" t="str">
        <f>CONCATENATE("Las semanas destinadas son: "&amp; B83)</f>
        <v>Las semanas destinadas son: 2</v>
      </c>
      <c r="E83" s="18"/>
      <c r="F83" s="18"/>
      <c r="G83" s="18"/>
    </row>
    <row r="84" spans="1:7" ht="30" customHeight="1">
      <c r="A84" s="5" t="s">
        <v>3</v>
      </c>
      <c r="B84" s="6" t="s">
        <v>4</v>
      </c>
      <c r="C84" s="6" t="s">
        <v>5</v>
      </c>
      <c r="D84" s="7" t="s">
        <v>6</v>
      </c>
      <c r="E84" s="6" t="s">
        <v>7</v>
      </c>
      <c r="F84" s="6" t="s">
        <v>8</v>
      </c>
      <c r="G84" s="8" t="s">
        <v>9</v>
      </c>
    </row>
    <row r="85" spans="1:7" ht="30" customHeight="1">
      <c r="A85" s="9" t="s">
        <v>75</v>
      </c>
      <c r="B85" s="10">
        <v>5</v>
      </c>
      <c r="C85" s="10">
        <v>3</v>
      </c>
      <c r="D85" s="10">
        <v>3</v>
      </c>
      <c r="E85" s="10">
        <v>6</v>
      </c>
      <c r="F85" s="10">
        <f>C85*D85*E85</f>
        <v>54</v>
      </c>
      <c r="G85" s="19">
        <f>AVERAGE(B85:B89)</f>
        <v>4.8</v>
      </c>
    </row>
    <row r="86" spans="1:7" ht="30" customHeight="1">
      <c r="A86" s="9" t="s">
        <v>76</v>
      </c>
      <c r="B86" s="10">
        <v>5</v>
      </c>
      <c r="C86" s="10">
        <v>3</v>
      </c>
      <c r="D86" s="10">
        <v>3</v>
      </c>
      <c r="E86" s="10">
        <v>6</v>
      </c>
      <c r="F86" s="10">
        <f>C86*D86*E86</f>
        <v>54</v>
      </c>
      <c r="G86" s="19"/>
    </row>
    <row r="87" spans="1:7" ht="30" customHeight="1">
      <c r="A87" s="9" t="s">
        <v>77</v>
      </c>
      <c r="B87" s="10">
        <v>3</v>
      </c>
      <c r="C87" s="10">
        <v>3</v>
      </c>
      <c r="D87" s="10">
        <v>2</v>
      </c>
      <c r="E87" s="10">
        <v>6</v>
      </c>
      <c r="F87" s="10">
        <f>C87*D87*E87</f>
        <v>36</v>
      </c>
      <c r="G87" s="19"/>
    </row>
    <row r="88" spans="1:7" ht="30" customHeight="1">
      <c r="A88" s="9" t="s">
        <v>78</v>
      </c>
      <c r="B88" s="10">
        <v>3</v>
      </c>
      <c r="C88" s="10">
        <v>3</v>
      </c>
      <c r="D88" s="10">
        <v>2</v>
      </c>
      <c r="E88" s="10">
        <v>6</v>
      </c>
      <c r="F88" s="10">
        <f>C88*D88*E88</f>
        <v>36</v>
      </c>
      <c r="G88" s="19"/>
    </row>
    <row r="89" spans="1:7" ht="30" customHeight="1">
      <c r="A89" s="9" t="s">
        <v>79</v>
      </c>
      <c r="B89" s="11">
        <v>8</v>
      </c>
      <c r="C89" s="11">
        <v>3</v>
      </c>
      <c r="D89" s="11">
        <v>3</v>
      </c>
      <c r="E89" s="11">
        <v>6</v>
      </c>
      <c r="F89" s="11">
        <f>C89*D89*E89</f>
        <v>54</v>
      </c>
      <c r="G89" s="19"/>
    </row>
    <row r="90" spans="1:7" ht="15" customHeight="1"/>
    <row r="91" spans="1:7" ht="18" customHeight="1">
      <c r="A91" s="1" t="s">
        <v>80</v>
      </c>
      <c r="B91" s="20" t="s">
        <v>81</v>
      </c>
      <c r="C91" s="20"/>
      <c r="D91" s="20"/>
      <c r="E91" s="20"/>
      <c r="F91" s="20"/>
      <c r="G91" s="20"/>
    </row>
    <row r="92" spans="1:7" ht="18" customHeight="1">
      <c r="A92" s="2" t="s">
        <v>2</v>
      </c>
      <c r="B92" s="3">
        <v>2</v>
      </c>
      <c r="C92" s="4" t="str">
        <f>IF(B92&gt;4,"No viable","Viable")</f>
        <v>Viable</v>
      </c>
      <c r="D92" s="18" t="str">
        <f>CONCATENATE("Las semanas destinadas son: "&amp; B92)</f>
        <v>Las semanas destinadas son: 2</v>
      </c>
      <c r="E92" s="18"/>
      <c r="F92" s="18"/>
      <c r="G92" s="18"/>
    </row>
    <row r="93" spans="1:7" ht="30" customHeight="1">
      <c r="A93" s="5" t="s">
        <v>3</v>
      </c>
      <c r="B93" s="6" t="s">
        <v>4</v>
      </c>
      <c r="C93" s="6" t="s">
        <v>5</v>
      </c>
      <c r="D93" s="7" t="s">
        <v>6</v>
      </c>
      <c r="E93" s="6" t="s">
        <v>7</v>
      </c>
      <c r="F93" s="6" t="s">
        <v>8</v>
      </c>
      <c r="G93" s="8" t="s">
        <v>9</v>
      </c>
    </row>
    <row r="94" spans="1:7" ht="30" customHeight="1">
      <c r="A94" s="9" t="s">
        <v>82</v>
      </c>
      <c r="B94" s="10">
        <v>5</v>
      </c>
      <c r="C94" s="10">
        <v>3</v>
      </c>
      <c r="D94" s="10">
        <v>3</v>
      </c>
      <c r="E94" s="10">
        <v>6</v>
      </c>
      <c r="F94" s="10">
        <f>C94*D94*E94</f>
        <v>54</v>
      </c>
      <c r="G94" s="19">
        <f>AVERAGE(B94:B99)</f>
        <v>5.666666666666667</v>
      </c>
    </row>
    <row r="95" spans="1:7" ht="30" customHeight="1">
      <c r="A95" s="9" t="s">
        <v>83</v>
      </c>
      <c r="B95" s="10">
        <v>8</v>
      </c>
      <c r="C95" s="10">
        <v>3</v>
      </c>
      <c r="D95" s="10">
        <v>3</v>
      </c>
      <c r="E95" s="10">
        <v>6</v>
      </c>
      <c r="F95" s="10">
        <f>C95*D95*E95</f>
        <v>54</v>
      </c>
      <c r="G95" s="19"/>
    </row>
    <row r="96" spans="1:7" ht="30" customHeight="1">
      <c r="A96" s="9" t="s">
        <v>84</v>
      </c>
      <c r="B96" s="10">
        <v>5</v>
      </c>
      <c r="C96" s="10">
        <v>3</v>
      </c>
      <c r="D96" s="10">
        <v>3</v>
      </c>
      <c r="E96" s="10">
        <v>6</v>
      </c>
      <c r="F96" s="10">
        <f>C96*D96*E96</f>
        <v>54</v>
      </c>
      <c r="G96" s="19"/>
    </row>
    <row r="97" spans="1:7" ht="30" customHeight="1">
      <c r="A97" s="9" t="s">
        <v>85</v>
      </c>
      <c r="B97" s="10">
        <v>8</v>
      </c>
      <c r="C97" s="10">
        <v>3</v>
      </c>
      <c r="D97" s="10">
        <v>3</v>
      </c>
      <c r="E97" s="10">
        <v>6</v>
      </c>
      <c r="F97" s="10">
        <f>C97*D97*E97</f>
        <v>54</v>
      </c>
      <c r="G97" s="19"/>
    </row>
    <row r="98" spans="1:7" ht="30" customHeight="1">
      <c r="A98" s="9" t="s">
        <v>86</v>
      </c>
      <c r="B98" s="10">
        <v>5</v>
      </c>
      <c r="C98" s="10">
        <v>3</v>
      </c>
      <c r="D98" s="10">
        <v>3</v>
      </c>
      <c r="E98" s="10">
        <v>6</v>
      </c>
      <c r="F98" s="10">
        <f>C98*D98*E98</f>
        <v>54</v>
      </c>
      <c r="G98" s="19"/>
    </row>
    <row r="99" spans="1:7" ht="30" customHeight="1">
      <c r="A99" s="9" t="s">
        <v>87</v>
      </c>
      <c r="B99" s="11">
        <v>3</v>
      </c>
      <c r="C99" s="11">
        <v>3</v>
      </c>
      <c r="D99" s="11">
        <v>2</v>
      </c>
      <c r="E99" s="11">
        <v>6</v>
      </c>
      <c r="F99" s="11">
        <f>C99*D99*E99</f>
        <v>36</v>
      </c>
      <c r="G99" s="19"/>
    </row>
    <row r="100" spans="1:7" ht="15" customHeight="1"/>
    <row r="101" spans="1:7" ht="18" customHeight="1">
      <c r="A101" s="1" t="s">
        <v>88</v>
      </c>
      <c r="B101" s="20" t="s">
        <v>89</v>
      </c>
      <c r="C101" s="20"/>
      <c r="D101" s="20"/>
      <c r="E101" s="20"/>
      <c r="F101" s="20"/>
      <c r="G101" s="20"/>
    </row>
    <row r="102" spans="1:7" ht="18" customHeight="1">
      <c r="A102" s="2" t="s">
        <v>2</v>
      </c>
      <c r="B102" s="3">
        <v>2</v>
      </c>
      <c r="C102" s="4" t="str">
        <f>IF(B102&gt;4,"No viable","Viable")</f>
        <v>Viable</v>
      </c>
      <c r="D102" s="18" t="str">
        <f>CONCATENATE("Las semanas destinadas son: "&amp; B102)</f>
        <v>Las semanas destinadas son: 2</v>
      </c>
      <c r="E102" s="18"/>
      <c r="F102" s="18"/>
      <c r="G102" s="18"/>
    </row>
    <row r="103" spans="1:7" ht="30" customHeight="1">
      <c r="A103" s="5" t="s">
        <v>3</v>
      </c>
      <c r="B103" s="6" t="s">
        <v>4</v>
      </c>
      <c r="C103" s="6" t="s">
        <v>5</v>
      </c>
      <c r="D103" s="7" t="s">
        <v>6</v>
      </c>
      <c r="E103" s="6" t="s">
        <v>7</v>
      </c>
      <c r="F103" s="6" t="s">
        <v>8</v>
      </c>
      <c r="G103" s="8" t="s">
        <v>9</v>
      </c>
    </row>
    <row r="104" spans="1:7" ht="30" customHeight="1">
      <c r="A104" s="9" t="s">
        <v>90</v>
      </c>
      <c r="B104" s="10">
        <v>8</v>
      </c>
      <c r="C104" s="10">
        <v>3</v>
      </c>
      <c r="D104" s="10">
        <v>3</v>
      </c>
      <c r="E104" s="10">
        <v>6</v>
      </c>
      <c r="F104" s="10">
        <f>C104*D104*E104</f>
        <v>54</v>
      </c>
      <c r="G104" s="19">
        <f>AVERAGE(B104:B108)</f>
        <v>5.2</v>
      </c>
    </row>
    <row r="105" spans="1:7" ht="30" customHeight="1">
      <c r="A105" s="9" t="s">
        <v>91</v>
      </c>
      <c r="B105" s="10">
        <v>5</v>
      </c>
      <c r="C105" s="10">
        <v>3</v>
      </c>
      <c r="D105" s="10">
        <v>3</v>
      </c>
      <c r="E105" s="10">
        <v>6</v>
      </c>
      <c r="F105" s="10">
        <f>C105*D105*E105</f>
        <v>54</v>
      </c>
      <c r="G105" s="19"/>
    </row>
    <row r="106" spans="1:7" ht="30" customHeight="1">
      <c r="A106" s="9" t="s">
        <v>92</v>
      </c>
      <c r="B106" s="10">
        <v>5</v>
      </c>
      <c r="C106" s="10">
        <v>3</v>
      </c>
      <c r="D106" s="10">
        <v>3</v>
      </c>
      <c r="E106" s="10">
        <v>6</v>
      </c>
      <c r="F106" s="10">
        <f>C106*D106*E106</f>
        <v>54</v>
      </c>
      <c r="G106" s="19"/>
    </row>
    <row r="107" spans="1:7" ht="30" customHeight="1">
      <c r="A107" s="9" t="s">
        <v>93</v>
      </c>
      <c r="B107" s="10">
        <v>3</v>
      </c>
      <c r="C107" s="10">
        <v>3</v>
      </c>
      <c r="D107" s="10">
        <v>2</v>
      </c>
      <c r="E107" s="10">
        <v>6</v>
      </c>
      <c r="F107" s="10">
        <f>C107*D107*E107</f>
        <v>36</v>
      </c>
      <c r="G107" s="19"/>
    </row>
    <row r="108" spans="1:7" ht="30" customHeight="1">
      <c r="A108" s="9" t="s">
        <v>94</v>
      </c>
      <c r="B108" s="11">
        <v>5</v>
      </c>
      <c r="C108" s="11">
        <v>3</v>
      </c>
      <c r="D108" s="11">
        <v>3</v>
      </c>
      <c r="E108" s="11">
        <v>6</v>
      </c>
      <c r="F108" s="11">
        <f>C108*D108*E108</f>
        <v>54</v>
      </c>
      <c r="G108" s="19"/>
    </row>
    <row r="109" spans="1:7" ht="15" customHeight="1"/>
    <row r="110" spans="1:7" ht="18" customHeight="1">
      <c r="A110" s="1" t="s">
        <v>95</v>
      </c>
      <c r="B110" s="20" t="s">
        <v>96</v>
      </c>
      <c r="C110" s="20"/>
      <c r="D110" s="20"/>
      <c r="E110" s="20"/>
      <c r="F110" s="20"/>
      <c r="G110" s="20"/>
    </row>
    <row r="111" spans="1:7" ht="18" customHeight="1">
      <c r="A111" s="2" t="s">
        <v>2</v>
      </c>
      <c r="B111" s="3">
        <v>2</v>
      </c>
      <c r="C111" s="4" t="str">
        <f>IF(B111&gt;4,"No viable","Viable")</f>
        <v>Viable</v>
      </c>
      <c r="D111" s="18" t="str">
        <f>CONCATENATE("Las semanas destinadas son: "&amp; B111)</f>
        <v>Las semanas destinadas son: 2</v>
      </c>
      <c r="E111" s="18"/>
      <c r="F111" s="18"/>
      <c r="G111" s="18"/>
    </row>
    <row r="112" spans="1:7" ht="30" customHeight="1">
      <c r="A112" s="5" t="s">
        <v>3</v>
      </c>
      <c r="B112" s="6" t="s">
        <v>4</v>
      </c>
      <c r="C112" s="6" t="s">
        <v>5</v>
      </c>
      <c r="D112" s="7" t="s">
        <v>6</v>
      </c>
      <c r="E112" s="6" t="s">
        <v>7</v>
      </c>
      <c r="F112" s="6" t="s">
        <v>8</v>
      </c>
      <c r="G112" s="8" t="s">
        <v>9</v>
      </c>
    </row>
    <row r="113" spans="1:7" ht="30" customHeight="1">
      <c r="A113" s="9" t="s">
        <v>97</v>
      </c>
      <c r="B113" s="10">
        <v>5</v>
      </c>
      <c r="C113" s="10">
        <v>3</v>
      </c>
      <c r="D113" s="10">
        <v>3</v>
      </c>
      <c r="E113" s="10">
        <v>6</v>
      </c>
      <c r="F113" s="10">
        <f>C113*D113*E113</f>
        <v>54</v>
      </c>
      <c r="G113" s="19">
        <f>AVERAGE(B113:B118)</f>
        <v>4.333333333333333</v>
      </c>
    </row>
    <row r="114" spans="1:7" ht="30" customHeight="1">
      <c r="A114" s="9" t="s">
        <v>98</v>
      </c>
      <c r="B114" s="10">
        <v>5</v>
      </c>
      <c r="C114" s="10">
        <v>3</v>
      </c>
      <c r="D114" s="10">
        <v>3</v>
      </c>
      <c r="E114" s="10">
        <v>6</v>
      </c>
      <c r="F114" s="10">
        <f>C114*D114*E114</f>
        <v>54</v>
      </c>
      <c r="G114" s="19"/>
    </row>
    <row r="115" spans="1:7" ht="30" customHeight="1">
      <c r="A115" s="9" t="s">
        <v>99</v>
      </c>
      <c r="B115" s="10">
        <v>5</v>
      </c>
      <c r="C115" s="10">
        <v>3</v>
      </c>
      <c r="D115" s="10">
        <v>3</v>
      </c>
      <c r="E115" s="10">
        <v>6</v>
      </c>
      <c r="F115" s="10">
        <f>C115*D115*E115</f>
        <v>54</v>
      </c>
      <c r="G115" s="19"/>
    </row>
    <row r="116" spans="1:7" ht="30" customHeight="1">
      <c r="A116" s="9" t="s">
        <v>100</v>
      </c>
      <c r="B116" s="10">
        <v>3</v>
      </c>
      <c r="C116" s="10">
        <v>3</v>
      </c>
      <c r="D116" s="10">
        <v>2</v>
      </c>
      <c r="E116" s="10">
        <v>6</v>
      </c>
      <c r="F116" s="10">
        <f>C116*D116*E116</f>
        <v>36</v>
      </c>
      <c r="G116" s="19"/>
    </row>
    <row r="117" spans="1:7" ht="30" customHeight="1">
      <c r="A117" s="9" t="s">
        <v>101</v>
      </c>
      <c r="B117" s="10">
        <v>5</v>
      </c>
      <c r="C117" s="10">
        <v>3</v>
      </c>
      <c r="D117" s="10">
        <v>3</v>
      </c>
      <c r="E117" s="10">
        <v>6</v>
      </c>
      <c r="F117" s="10">
        <f>C117*D117*E117</f>
        <v>54</v>
      </c>
      <c r="G117" s="19"/>
    </row>
    <row r="118" spans="1:7" ht="30" customHeight="1">
      <c r="A118" s="9" t="s">
        <v>102</v>
      </c>
      <c r="B118" s="11">
        <v>3</v>
      </c>
      <c r="C118" s="11">
        <v>3</v>
      </c>
      <c r="D118" s="11">
        <v>2</v>
      </c>
      <c r="E118" s="11">
        <v>6</v>
      </c>
      <c r="F118" s="11">
        <f>C118*D118*E118</f>
        <v>36</v>
      </c>
      <c r="G118" s="19"/>
    </row>
    <row r="119" spans="1:7" ht="15" customHeight="1"/>
    <row r="120" spans="1:7" ht="18" customHeight="1">
      <c r="A120" s="1" t="s">
        <v>103</v>
      </c>
      <c r="B120" s="20" t="s">
        <v>104</v>
      </c>
      <c r="C120" s="20"/>
      <c r="D120" s="20"/>
      <c r="E120" s="20"/>
      <c r="F120" s="20"/>
      <c r="G120" s="20"/>
    </row>
    <row r="121" spans="1:7" ht="18" customHeight="1">
      <c r="A121" s="2" t="s">
        <v>2</v>
      </c>
      <c r="B121" s="3">
        <v>2</v>
      </c>
      <c r="C121" s="4" t="str">
        <f>IF(B121&gt;4,"No viable","Viable")</f>
        <v>Viable</v>
      </c>
      <c r="D121" s="18" t="str">
        <f>CONCATENATE("Las semanas destinadas son: "&amp; B121)</f>
        <v>Las semanas destinadas son: 2</v>
      </c>
      <c r="E121" s="18"/>
      <c r="F121" s="18"/>
      <c r="G121" s="18"/>
    </row>
    <row r="122" spans="1:7" ht="30" customHeight="1">
      <c r="A122" s="5" t="s">
        <v>3</v>
      </c>
      <c r="B122" s="6" t="s">
        <v>4</v>
      </c>
      <c r="C122" s="6" t="s">
        <v>5</v>
      </c>
      <c r="D122" s="7" t="s">
        <v>6</v>
      </c>
      <c r="E122" s="6" t="s">
        <v>7</v>
      </c>
      <c r="F122" s="6" t="s">
        <v>8</v>
      </c>
      <c r="G122" s="8" t="s">
        <v>9</v>
      </c>
    </row>
    <row r="123" spans="1:7" ht="30" customHeight="1">
      <c r="A123" s="9" t="s">
        <v>105</v>
      </c>
      <c r="B123" s="10">
        <v>5</v>
      </c>
      <c r="C123" s="10">
        <v>3</v>
      </c>
      <c r="D123" s="10">
        <v>3</v>
      </c>
      <c r="E123" s="10">
        <v>6</v>
      </c>
      <c r="F123" s="10">
        <f>C123*D123*E123</f>
        <v>54</v>
      </c>
      <c r="G123" s="19">
        <f>AVERAGE(B123:B127)</f>
        <v>4.2</v>
      </c>
    </row>
    <row r="124" spans="1:7" ht="30" customHeight="1">
      <c r="A124" s="9" t="s">
        <v>106</v>
      </c>
      <c r="B124" s="10">
        <v>5</v>
      </c>
      <c r="C124" s="10">
        <v>3</v>
      </c>
      <c r="D124" s="10">
        <v>3</v>
      </c>
      <c r="E124" s="10">
        <v>6</v>
      </c>
      <c r="F124" s="10">
        <f>C124*D124*E124</f>
        <v>54</v>
      </c>
      <c r="G124" s="19"/>
    </row>
    <row r="125" spans="1:7" ht="30" customHeight="1">
      <c r="A125" s="9" t="s">
        <v>107</v>
      </c>
      <c r="B125" s="10">
        <v>3</v>
      </c>
      <c r="C125" s="10">
        <v>3</v>
      </c>
      <c r="D125" s="10">
        <v>2</v>
      </c>
      <c r="E125" s="10">
        <v>6</v>
      </c>
      <c r="F125" s="10">
        <f>C125*D125*E125</f>
        <v>36</v>
      </c>
      <c r="G125" s="19"/>
    </row>
    <row r="126" spans="1:7" ht="30" customHeight="1">
      <c r="A126" s="9" t="s">
        <v>108</v>
      </c>
      <c r="B126" s="10">
        <v>5</v>
      </c>
      <c r="C126" s="10">
        <v>3</v>
      </c>
      <c r="D126" s="10">
        <v>3</v>
      </c>
      <c r="E126" s="10">
        <v>6</v>
      </c>
      <c r="F126" s="10">
        <f>C126*D126*E126</f>
        <v>54</v>
      </c>
      <c r="G126" s="19"/>
    </row>
    <row r="127" spans="1:7" ht="30" customHeight="1">
      <c r="A127" s="9" t="s">
        <v>109</v>
      </c>
      <c r="B127" s="11">
        <v>3</v>
      </c>
      <c r="C127" s="11">
        <v>3</v>
      </c>
      <c r="D127" s="11">
        <v>2</v>
      </c>
      <c r="E127" s="11">
        <v>6</v>
      </c>
      <c r="F127" s="11">
        <f>C127*D127*E127</f>
        <v>36</v>
      </c>
      <c r="G127" s="19"/>
    </row>
    <row r="128" spans="1:7" ht="15" customHeight="1"/>
    <row r="129" spans="1:7" ht="18" customHeight="1">
      <c r="A129" s="1" t="s">
        <v>110</v>
      </c>
      <c r="B129" s="20" t="s">
        <v>111</v>
      </c>
      <c r="C129" s="20"/>
      <c r="D129" s="20"/>
      <c r="E129" s="20"/>
      <c r="F129" s="20"/>
      <c r="G129" s="20"/>
    </row>
    <row r="130" spans="1:7" ht="18" customHeight="1">
      <c r="A130" s="2" t="s">
        <v>2</v>
      </c>
      <c r="B130" s="3">
        <v>2</v>
      </c>
      <c r="C130" s="4" t="str">
        <f>IF(B130&gt;4,"No viable","Viable")</f>
        <v>Viable</v>
      </c>
      <c r="D130" s="18" t="str">
        <f>CONCATENATE("Las semanas destinadas son: "&amp; B130)</f>
        <v>Las semanas destinadas son: 2</v>
      </c>
      <c r="E130" s="18"/>
      <c r="F130" s="18"/>
      <c r="G130" s="18"/>
    </row>
    <row r="131" spans="1:7" ht="30" customHeight="1">
      <c r="A131" s="5" t="s">
        <v>3</v>
      </c>
      <c r="B131" s="6" t="s">
        <v>4</v>
      </c>
      <c r="C131" s="6" t="s">
        <v>5</v>
      </c>
      <c r="D131" s="7" t="s">
        <v>6</v>
      </c>
      <c r="E131" s="6" t="s">
        <v>7</v>
      </c>
      <c r="F131" s="6" t="s">
        <v>8</v>
      </c>
      <c r="G131" s="8" t="s">
        <v>9</v>
      </c>
    </row>
    <row r="132" spans="1:7" ht="30" customHeight="1">
      <c r="A132" s="9" t="s">
        <v>112</v>
      </c>
      <c r="B132" s="10">
        <v>5</v>
      </c>
      <c r="C132" s="10">
        <v>3</v>
      </c>
      <c r="D132" s="10">
        <v>3</v>
      </c>
      <c r="E132" s="10">
        <v>6</v>
      </c>
      <c r="F132" s="10">
        <f>C132*D132*E132</f>
        <v>54</v>
      </c>
      <c r="G132" s="19">
        <f>AVERAGE(B132:B134)</f>
        <v>3.6666666666666665</v>
      </c>
    </row>
    <row r="133" spans="1:7" ht="30" customHeight="1">
      <c r="A133" s="9" t="s">
        <v>113</v>
      </c>
      <c r="B133" s="10">
        <v>3</v>
      </c>
      <c r="C133" s="10">
        <v>3</v>
      </c>
      <c r="D133" s="10">
        <v>2</v>
      </c>
      <c r="E133" s="10">
        <v>6</v>
      </c>
      <c r="F133" s="10">
        <f>C133*D133*E133</f>
        <v>36</v>
      </c>
      <c r="G133" s="19"/>
    </row>
    <row r="134" spans="1:7" ht="30" customHeight="1">
      <c r="A134" s="9" t="s">
        <v>114</v>
      </c>
      <c r="B134" s="11">
        <v>3</v>
      </c>
      <c r="C134" s="11">
        <v>3</v>
      </c>
      <c r="D134" s="11">
        <v>2</v>
      </c>
      <c r="E134" s="11">
        <v>6</v>
      </c>
      <c r="F134" s="11">
        <f>C134*D134*E134</f>
        <v>36</v>
      </c>
      <c r="G134" s="19"/>
    </row>
    <row r="135" spans="1:7" ht="15" customHeight="1"/>
  </sheetData>
  <mergeCells count="42">
    <mergeCell ref="B1:G1"/>
    <mergeCell ref="D2:G2"/>
    <mergeCell ref="G4:G8"/>
    <mergeCell ref="B10:G10"/>
    <mergeCell ref="D11:G11"/>
    <mergeCell ref="G13:G18"/>
    <mergeCell ref="B20:G20"/>
    <mergeCell ref="D21:G21"/>
    <mergeCell ref="G23:G28"/>
    <mergeCell ref="B30:G30"/>
    <mergeCell ref="D31:G31"/>
    <mergeCell ref="G33:G38"/>
    <mergeCell ref="B40:G40"/>
    <mergeCell ref="D41:G41"/>
    <mergeCell ref="G43:G49"/>
    <mergeCell ref="B51:G51"/>
    <mergeCell ref="D52:G52"/>
    <mergeCell ref="G54:G59"/>
    <mergeCell ref="B61:G61"/>
    <mergeCell ref="D62:G62"/>
    <mergeCell ref="G64:G70"/>
    <mergeCell ref="B72:G72"/>
    <mergeCell ref="D73:G73"/>
    <mergeCell ref="G75:G80"/>
    <mergeCell ref="B82:G82"/>
    <mergeCell ref="D83:G83"/>
    <mergeCell ref="G85:G89"/>
    <mergeCell ref="B91:G91"/>
    <mergeCell ref="D92:G92"/>
    <mergeCell ref="G94:G99"/>
    <mergeCell ref="B101:G101"/>
    <mergeCell ref="D102:G102"/>
    <mergeCell ref="G104:G108"/>
    <mergeCell ref="B110:G110"/>
    <mergeCell ref="D111:G111"/>
    <mergeCell ref="D130:G130"/>
    <mergeCell ref="G132:G134"/>
    <mergeCell ref="G113:G118"/>
    <mergeCell ref="B120:G120"/>
    <mergeCell ref="D121:G121"/>
    <mergeCell ref="G123:G127"/>
    <mergeCell ref="B129:G129"/>
  </mergeCells>
  <dataValidations count="1">
    <dataValidation type="decimal" operator="lessThanOrEqual" allowBlank="1" showDropDown="1" showErrorMessage="1" sqref="B2" xr:uid="{00000000-0002-0000-0000-000000000000}">
      <formula1>4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Camilo's PC</dc:creator>
  <cp:keywords/>
  <dc:description/>
  <cp:lastModifiedBy/>
  <cp:revision>0</cp:revision>
  <dcterms:created xsi:type="dcterms:W3CDTF">2026-05-04T16:39:58Z</dcterms:created>
  <dcterms:modified xsi:type="dcterms:W3CDTF">2026-06-30T03:32:28Z</dcterms:modified>
  <cp:category/>
  <cp:contentStatus/>
</cp:coreProperties>
</file>